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HusaamAteeq/Desktop/MSc Docs/Hackathon/"/>
    </mc:Choice>
  </mc:AlternateContent>
  <xr:revisionPtr revIDLastSave="0" documentId="8_{C84DC016-06F4-D64D-A2C4-1EEB5006EE15}" xr6:coauthVersionLast="47" xr6:coauthVersionMax="47" xr10:uidLastSave="{00000000-0000-0000-0000-000000000000}"/>
  <bookViews>
    <workbookView xWindow="0" yWindow="0" windowWidth="23280" windowHeight="14880" tabRatio="500" xr2:uid="{00000000-000D-0000-FFFF-FFFF00000000}"/>
  </bookViews>
  <sheets>
    <sheet name="Control Sheet" sheetId="1" r:id="rId1"/>
    <sheet name="Ke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" i="1" l="1"/>
  <c r="X12" i="1"/>
  <c r="W12" i="1"/>
  <c r="V12" i="1"/>
  <c r="U12" i="1"/>
  <c r="Q12" i="1"/>
  <c r="AB11" i="1"/>
  <c r="W11" i="1"/>
  <c r="V11" i="1"/>
  <c r="X11" i="1" s="1"/>
  <c r="U11" i="1"/>
  <c r="Q11" i="1"/>
  <c r="AB10" i="1"/>
  <c r="W10" i="1"/>
  <c r="V10" i="1"/>
  <c r="X10" i="1" s="1"/>
  <c r="U10" i="1"/>
  <c r="Q10" i="1"/>
  <c r="AB9" i="1"/>
  <c r="W9" i="1"/>
  <c r="V9" i="1"/>
  <c r="X9" i="1" s="1"/>
  <c r="U9" i="1"/>
  <c r="Q9" i="1"/>
  <c r="AD8" i="1"/>
  <c r="AD9" i="1" s="1"/>
  <c r="AD10" i="1" s="1"/>
  <c r="AD11" i="1" s="1"/>
  <c r="AD12" i="1" s="1"/>
  <c r="AB8" i="1"/>
  <c r="W8" i="1"/>
  <c r="V8" i="1"/>
  <c r="X8" i="1" s="1"/>
  <c r="U8" i="1"/>
  <c r="Q8" i="1"/>
  <c r="AD7" i="1"/>
  <c r="AB7" i="1"/>
  <c r="W7" i="1"/>
  <c r="V7" i="1"/>
  <c r="X7" i="1" s="1"/>
  <c r="U7" i="1"/>
  <c r="Q7" i="1"/>
  <c r="AD6" i="1"/>
  <c r="AB6" i="1"/>
  <c r="X6" i="1"/>
  <c r="W6" i="1"/>
  <c r="V6" i="1"/>
  <c r="U6" i="1"/>
  <c r="Q6" i="1"/>
  <c r="AD5" i="1"/>
  <c r="AB5" i="1"/>
  <c r="W5" i="1"/>
  <c r="X5" i="1" s="1"/>
  <c r="V5" i="1"/>
  <c r="U5" i="1"/>
  <c r="Q5" i="1"/>
  <c r="AD4" i="1"/>
  <c r="AB4" i="1"/>
  <c r="W4" i="1"/>
  <c r="V4" i="1"/>
  <c r="U4" i="1"/>
  <c r="Q4" i="1"/>
  <c r="X4" i="1" l="1"/>
</calcChain>
</file>

<file path=xl/sharedStrings.xml><?xml version="1.0" encoding="utf-8"?>
<sst xmlns="http://schemas.openxmlformats.org/spreadsheetml/2006/main" count="235" uniqueCount="170">
  <si>
    <t>QMML Market Making Hackathon — Live Control Sheet   |   Start: £100,000   |   Min trade: 10 shares   |   Submit 2 d.p.</t>
  </si>
  <si>
    <t>PRE-ROUND PREP  (read-only on the day)</t>
  </si>
  <si>
    <t>LIVE SUBMISSION &amp; DECISION  ← yellow cells only</t>
  </si>
  <si>
    <t>POST-ROUND RESULTS</t>
  </si>
  <si>
    <t>stock</t>
  </si>
  <si>
    <t>fair_value</t>
  </si>
  <si>
    <t>uncertainty (±)</t>
  </si>
  <si>
    <t>confidence</t>
  </si>
  <si>
    <t>bid_tight
(±0.3σ)</t>
  </si>
  <si>
    <t>ask_tight
(±0.3σ)</t>
  </si>
  <si>
    <t>bid_moderate
(±0.75σ)</t>
  </si>
  <si>
    <t>ask_moderate
(±0.75σ)</t>
  </si>
  <si>
    <t>bid_conservative
(±1.5σ)</t>
  </si>
  <si>
    <t>ask_conservative
(±1.5σ)</t>
  </si>
  <si>
    <t>bid_ultra
(±2.0σ)</t>
  </si>
  <si>
    <t>ask_ultra
(±2.0σ)</t>
  </si>
  <si>
    <t>suggested
mode</t>
  </si>
  <si>
    <t>mode_used
code</t>
  </si>
  <si>
    <t>submitted
bid</t>
  </si>
  <si>
    <t>submitted
ask</t>
  </si>
  <si>
    <t>submitted
spread</t>
  </si>
  <si>
    <t>is_market
maker</t>
  </si>
  <si>
    <t>maker_bid</t>
  </si>
  <si>
    <t>maker_ask</t>
  </si>
  <si>
    <t>maker
spread</t>
  </si>
  <si>
    <t>buy_edge</t>
  </si>
  <si>
    <t>sell_edge</t>
  </si>
  <si>
    <t>trade
decision</t>
  </si>
  <si>
    <t>trade_side
code</t>
  </si>
  <si>
    <t>shares
traded
(min 10)</t>
  </si>
  <si>
    <t>actual
fair_value</t>
  </si>
  <si>
    <t>est_trade_pnl
(non-MM)</t>
  </si>
  <si>
    <t>actual
round_pnl</t>
  </si>
  <si>
    <t>cash_after
round</t>
  </si>
  <si>
    <t>leaderboard
rank</t>
  </si>
  <si>
    <t>HIGH</t>
  </si>
  <si>
    <t>1 — Tight</t>
  </si>
  <si>
    <t>MEDIUM</t>
  </si>
  <si>
    <t>2 — Moderate</t>
  </si>
  <si>
    <t>LOW</t>
  </si>
  <si>
    <t>3 — Conservative</t>
  </si>
  <si>
    <t>4 — Ultra</t>
  </si>
  <si>
    <t>Key &amp; How to Use the Control Sheet</t>
  </si>
  <si>
    <t>Section</t>
  </si>
  <si>
    <t>Column(s)</t>
  </si>
  <si>
    <t>Meaning</t>
  </si>
  <si>
    <t>Codes / Rules</t>
  </si>
  <si>
    <t>When to use</t>
  </si>
  <si>
    <t>Colour</t>
  </si>
  <si>
    <t>PRE-ROUND</t>
  </si>
  <si>
    <t>A</t>
  </si>
  <si>
    <t>Stock number</t>
  </si>
  <si>
    <t>1–9</t>
  </si>
  <si>
    <t>Before round</t>
  </si>
  <si>
    <t>Light blue</t>
  </si>
  <si>
    <t>B</t>
  </si>
  <si>
    <t>Fair value prediction (£)</t>
  </si>
  <si>
    <t>Model output — do not change</t>
  </si>
  <si>
    <t>Reference only</t>
  </si>
  <si>
    <t>C</t>
  </si>
  <si>
    <t>Uncertainty (1σ, £)</t>
  </si>
  <si>
    <t>From LOO RMSE + model spread</t>
  </si>
  <si>
    <t>D</t>
  </si>
  <si>
    <t>Confidence rating</t>
  </si>
  <si>
    <t>HIGH (&lt;5%) / MEDIUM (5–12%) / LOW (&gt;12%)</t>
  </si>
  <si>
    <t>Green/Amber/Red</t>
  </si>
  <si>
    <t>E–F</t>
  </si>
  <si>
    <t>Tight quotes (±0.3σ)</t>
  </si>
  <si>
    <t>Use for HIGH confidence rounds (1, 2)</t>
  </si>
  <si>
    <t>Aggressive MM bid</t>
  </si>
  <si>
    <t>G–H</t>
  </si>
  <si>
    <t>Moderate quotes (±0.75σ)</t>
  </si>
  <si>
    <t>Default for MEDIUM confidence</t>
  </si>
  <si>
    <t>Normal play</t>
  </si>
  <si>
    <t>I–J</t>
  </si>
  <si>
    <t>Conservative quotes (±1.5σ)</t>
  </si>
  <si>
    <t>LOW confidence or protecting lead</t>
  </si>
  <si>
    <t>Safe play</t>
  </si>
  <si>
    <t>K–L</t>
  </si>
  <si>
    <t>Ultra quotes (±2.0σ)</t>
  </si>
  <si>
    <t>Trap rounds: 6, 8, 9</t>
  </si>
  <si>
    <t>Survival</t>
  </si>
  <si>
    <t>M</t>
  </si>
  <si>
    <t>Suggested mode</t>
  </si>
  <si>
    <t>Pre-computed recommendation</t>
  </si>
  <si>
    <t>Start here each round</t>
  </si>
  <si>
    <t>LIVE</t>
  </si>
  <si>
    <t>N</t>
  </si>
  <si>
    <t>Mode used code</t>
  </si>
  <si>
    <t>1=Tight 2=Moderate 3=Conservative 4=Ultra</t>
  </si>
  <si>
    <t>Enter before submitting</t>
  </si>
  <si>
    <t>Yellow</t>
  </si>
  <si>
    <t>O–P</t>
  </si>
  <si>
    <t>Submitted bid / ask</t>
  </si>
  <si>
    <t>2 decimal places required. Ask &gt; Bid</t>
  </si>
  <si>
    <t>Q</t>
  </si>
  <si>
    <t>Submitted spread (formula)</t>
  </si>
  <si>
    <t>Ask − Bid.  Smaller = more likely to be MM</t>
  </si>
  <si>
    <t>Auto</t>
  </si>
  <si>
    <t>Formula</t>
  </si>
  <si>
    <t>R</t>
  </si>
  <si>
    <t>Is market maker?</t>
  </si>
  <si>
    <t>1 = Yes  0 = No</t>
  </si>
  <si>
    <t>Enter when MM announced</t>
  </si>
  <si>
    <t>S–T</t>
  </si>
  <si>
    <t>Maker bid / ask</t>
  </si>
  <si>
    <t>Winning team's bid and ask prices (2 d.p.)</t>
  </si>
  <si>
    <t>U</t>
  </si>
  <si>
    <t>Maker spread (formula)</t>
  </si>
  <si>
    <t>Maker Ask − Maker Bid</t>
  </si>
  <si>
    <t>V</t>
  </si>
  <si>
    <t>Buy edge (formula)</t>
  </si>
  <si>
    <t>Fair Value − Maker Ask.  POSITIVE → BUY</t>
  </si>
  <si>
    <t>W</t>
  </si>
  <si>
    <t>Sell edge (formula)</t>
  </si>
  <si>
    <t>Maker Bid − Fair Value.  POSITIVE → SELL</t>
  </si>
  <si>
    <t>X</t>
  </si>
  <si>
    <t>Trade decision (formula)</t>
  </si>
  <si>
    <t>BUY ▲ / SELL ▼ / MIN →  based on edges</t>
  </si>
  <si>
    <t>Read this first</t>
  </si>
  <si>
    <t>Y</t>
  </si>
  <si>
    <t>Trade side code</t>
  </si>
  <si>
    <t>1 = Buy    −1 = Sell    0 = Minimum (forced)</t>
  </si>
  <si>
    <t>Enter after decision</t>
  </si>
  <si>
    <t>Z</t>
  </si>
  <si>
    <t>Shares traded</t>
  </si>
  <si>
    <t>Minimum 10. Scale up with confidence &amp; edge.</t>
  </si>
  <si>
    <t>POST</t>
  </si>
  <si>
    <t>AA</t>
  </si>
  <si>
    <t>Actual fair value</t>
  </si>
  <si>
    <t>True stock value revealed at end of round</t>
  </si>
  <si>
    <t>Enter when revealed</t>
  </si>
  <si>
    <t>AB</t>
  </si>
  <si>
    <t>Est. trade P&amp;L (formula)</t>
  </si>
  <si>
    <t>If buyer: (actual−maker_ask)×shares. If seller: (maker_bid−actual)×shares</t>
  </si>
  <si>
    <t>AC</t>
  </si>
  <si>
    <t>Actual round P&amp;L</t>
  </si>
  <si>
    <t>Official result from leaderboard</t>
  </si>
  <si>
    <t>Enter after round</t>
  </si>
  <si>
    <t>AD</t>
  </si>
  <si>
    <t>Cash after round (formula)</t>
  </si>
  <si>
    <t>Running total from £100,000 start</t>
  </si>
  <si>
    <t>AE</t>
  </si>
  <si>
    <t>Leaderboard rank</t>
  </si>
  <si>
    <t>Your position after the round</t>
  </si>
  <si>
    <t>Quick Live Decision Rules</t>
  </si>
  <si>
    <t>Situation</t>
  </si>
  <si>
    <t>Action</t>
  </si>
  <si>
    <t>fair_value &gt; maker_ask</t>
  </si>
  <si>
    <t>BUY — you profit (true_value − maker_ask) × shares</t>
  </si>
  <si>
    <t>fair_value &lt; maker_bid</t>
  </si>
  <si>
    <t>SELL — you profit (maker_bid − true_value) × shares</t>
  </si>
  <si>
    <t>fair_value inside maker spread</t>
  </si>
  <si>
    <t>Trade MINIMUM (10 shares). Pick the closer side to minimise loss</t>
  </si>
  <si>
    <t>Stock 1 or 2 (HIGH confidence)</t>
  </si>
  <si>
    <t>Use Tight quotes — aim to be Market Maker</t>
  </si>
  <si>
    <t>Stock 3,4,5,7 (MEDIUM)</t>
  </si>
  <si>
    <t>Use Moderate quotes — balanced approach</t>
  </si>
  <si>
    <t>Stock 6,8,9 (LOW)</t>
  </si>
  <si>
    <t>Use Conservative or Ultra — survival priority</t>
  </si>
  <si>
    <t>Cash &lt; £30,000</t>
  </si>
  <si>
    <t>PROTECT mode: minimum shares only, no tight spreads</t>
  </si>
  <si>
    <t>Leaderboard: top 3 (holding)</t>
  </si>
  <si>
    <t>Widen one level — protect the lead</t>
  </si>
  <si>
    <t>Leaderboard: bottom 30%</t>
  </si>
  <si>
    <t>Tighten on HIGH confidence rounds only</t>
  </si>
  <si>
    <t>Minimum shares</t>
  </si>
  <si>
    <t>10 shares per round — cannot abstain</t>
  </si>
  <si>
    <t>Submission format</t>
  </si>
  <si>
    <t>2 decimal places. Ask must be &gt; Bid.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</si>
</sst>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.00;&quot;(£&quot;#,##0.00\);\-"/>
    <numFmt numFmtId="165" formatCode="\£#,##0;&quot;(£&quot;#,##0\)"/>
  </numFmts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Calibri"/>
      <family val="2"/>
    </font>
    <font>
      <b/>
      <sz val="10"/>
      <color rgb="FF111827"/>
      <name val="Calibri"/>
      <family val="2"/>
    </font>
    <font>
      <b/>
      <sz val="9"/>
      <color rgb="FF111827"/>
      <name val="Calibri"/>
      <family val="2"/>
    </font>
    <font>
      <sz val="10"/>
      <color rgb="FF111827"/>
      <name val="Calibri"/>
      <family val="2"/>
    </font>
    <font>
      <b/>
      <sz val="10"/>
      <color rgb="FF166534"/>
      <name val="Calibri"/>
      <family val="2"/>
    </font>
    <font>
      <b/>
      <sz val="9"/>
      <color rgb="FF166534"/>
      <name val="Calibri"/>
      <family val="2"/>
    </font>
    <font>
      <b/>
      <sz val="10"/>
      <color rgb="FF92400E"/>
      <name val="Calibri"/>
      <family val="2"/>
    </font>
    <font>
      <b/>
      <sz val="9"/>
      <color rgb="FF92400E"/>
      <name val="Calibri"/>
      <family val="2"/>
    </font>
    <font>
      <b/>
      <sz val="10"/>
      <color rgb="FF991B1B"/>
      <name val="Calibri"/>
      <family val="2"/>
    </font>
    <font>
      <b/>
      <sz val="9"/>
      <color rgb="FF991B1B"/>
      <name val="Calibri"/>
      <family val="2"/>
    </font>
    <font>
      <sz val="9"/>
      <name val="Calibri"/>
      <family val="2"/>
    </font>
    <font>
      <b/>
      <sz val="10"/>
      <color rgb="FF0F172A"/>
      <name val="Calibri"/>
      <family val="2"/>
    </font>
    <font>
      <b/>
      <sz val="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DBEAFE"/>
        <bgColor rgb="FFEFF6FF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F0F9FF"/>
      </patternFill>
    </fill>
    <fill>
      <patternFill patternType="solid">
        <fgColor rgb="FFBFDBFE"/>
        <bgColor rgb="FFD1D5DB"/>
      </patternFill>
    </fill>
    <fill>
      <patternFill patternType="solid">
        <fgColor rgb="FFFDE68A"/>
        <bgColor rgb="FFFEF3C7"/>
      </patternFill>
    </fill>
    <fill>
      <patternFill patternType="solid">
        <fgColor rgb="FFBBF7D0"/>
        <bgColor rgb="FFDCFCE7"/>
      </patternFill>
    </fill>
    <fill>
      <patternFill patternType="solid">
        <fgColor rgb="FFF0F9FF"/>
        <bgColor rgb="FFEFF6FF"/>
      </patternFill>
    </fill>
    <fill>
      <patternFill patternType="solid">
        <fgColor rgb="FFFFFBEB"/>
        <bgColor rgb="FFFFFFFF"/>
      </patternFill>
    </fill>
    <fill>
      <patternFill patternType="solid">
        <fgColor rgb="FFEFF6FF"/>
        <bgColor rgb="FFF0F9FF"/>
      </patternFill>
    </fill>
    <fill>
      <patternFill patternType="solid">
        <fgColor rgb="FFFEE2E2"/>
        <bgColor rgb="FFFEF3C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4" fontId="4" fillId="9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4" fontId="4" fillId="10" borderId="1" xfId="0" applyNumberFormat="1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5" fontId="4" fillId="11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3" fillId="6" borderId="1" xfId="0" applyFont="1" applyFill="1" applyBorder="1"/>
    <xf numFmtId="0" fontId="11" fillId="0" borderId="1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2" borderId="0" xfId="0" applyFont="1" applyFill="1"/>
    <xf numFmtId="0" fontId="11" fillId="0" borderId="2" xfId="0" applyFont="1" applyBorder="1"/>
    <xf numFmtId="0" fontId="0" fillId="0" borderId="3" xfId="0" applyBorder="1"/>
    <xf numFmtId="0" fontId="12" fillId="0" borderId="0" xfId="0" applyFont="1"/>
    <xf numFmtId="0" fontId="13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BBF7D0"/>
      <rgbColor rgb="FFFDE68A"/>
      <rgbColor rgb="FFEFF6FF"/>
      <rgbColor rgb="FFFFFBEB"/>
      <rgbColor rgb="FFF0F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2400E"/>
      <rgbColor rgb="FF993366"/>
      <rgbColor rgb="FF333399"/>
      <rgbColor rgb="FF0F17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abSelected="1" topLeftCell="K1" zoomScaleNormal="100" workbookViewId="0">
      <pane ySplit="3" topLeftCell="A4" activePane="bottomLeft" state="frozen"/>
      <selection pane="bottomLeft" activeCell="Y4" sqref="Y4"/>
    </sheetView>
  </sheetViews>
  <sheetFormatPr baseColWidth="10" defaultColWidth="8.6640625" defaultRowHeight="15" x14ac:dyDescent="0.2"/>
  <cols>
    <col min="1" max="1" width="6" customWidth="1"/>
    <col min="2" max="2" width="10" customWidth="1"/>
    <col min="3" max="6" width="9" customWidth="1"/>
    <col min="7" max="8" width="10" customWidth="1"/>
    <col min="9" max="10" width="12" customWidth="1"/>
    <col min="11" max="12" width="9" customWidth="1"/>
    <col min="13" max="13" width="11" customWidth="1"/>
    <col min="14" max="14" width="8" customWidth="1"/>
    <col min="15" max="17" width="9" customWidth="1"/>
    <col min="18" max="18" width="8" customWidth="1"/>
    <col min="19" max="20" width="9" customWidth="1"/>
    <col min="21" max="23" width="8" customWidth="1"/>
    <col min="24" max="25" width="9" customWidth="1"/>
    <col min="26" max="27" width="10" customWidth="1"/>
    <col min="28" max="28" width="13" customWidth="1"/>
    <col min="29" max="29" width="11" customWidth="1"/>
    <col min="30" max="30" width="12" customWidth="1"/>
    <col min="31" max="31" width="11" customWidth="1"/>
  </cols>
  <sheetData>
    <row r="1" spans="1:31" ht="21.75" customHeight="1" x14ac:dyDescent="0.2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spans="1:31" ht="19.5" customHeight="1" x14ac:dyDescent="0.2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9" t="s">
        <v>2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30" t="s">
        <v>3</v>
      </c>
      <c r="AB2" s="27"/>
      <c r="AC2" s="27"/>
      <c r="AD2" s="27"/>
      <c r="AE2" s="27"/>
    </row>
    <row r="3" spans="1:31" ht="37.5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3" t="s">
        <v>30</v>
      </c>
      <c r="AB3" s="3" t="s">
        <v>31</v>
      </c>
      <c r="AC3" s="3" t="s">
        <v>32</v>
      </c>
      <c r="AD3" s="3" t="s">
        <v>33</v>
      </c>
      <c r="AE3" s="3" t="s">
        <v>34</v>
      </c>
    </row>
    <row r="4" spans="1:31" ht="15" customHeight="1" x14ac:dyDescent="0.2">
      <c r="A4" s="4">
        <v>1</v>
      </c>
      <c r="B4" s="5">
        <v>273.93</v>
      </c>
      <c r="C4" s="5">
        <v>4.87</v>
      </c>
      <c r="D4" s="6" t="s">
        <v>35</v>
      </c>
      <c r="E4" s="5">
        <v>272.47000000000003</v>
      </c>
      <c r="F4" s="5">
        <v>275.39</v>
      </c>
      <c r="G4" s="5">
        <v>270.27999999999997</v>
      </c>
      <c r="H4" s="5">
        <v>277.58</v>
      </c>
      <c r="I4" s="5">
        <v>266.62</v>
      </c>
      <c r="J4" s="5">
        <v>281.24</v>
      </c>
      <c r="K4" s="5">
        <v>264.19</v>
      </c>
      <c r="L4" s="5">
        <v>283.67</v>
      </c>
      <c r="M4" s="7" t="s">
        <v>36</v>
      </c>
      <c r="N4" s="8"/>
      <c r="O4" s="9"/>
      <c r="P4" s="9"/>
      <c r="Q4" s="10" t="str">
        <f t="shared" ref="Q4:Q12" si="0">IF(OR(O4="",P4=""),"",ROUND(P4-O4,2))</f>
        <v/>
      </c>
      <c r="R4" s="8"/>
      <c r="S4" s="9"/>
      <c r="T4" s="9"/>
      <c r="U4" s="10" t="str">
        <f t="shared" ref="U4:U12" si="1">IF(OR(S4="",T4=""),"",ROUND(T4-S4,2))</f>
        <v/>
      </c>
      <c r="V4" s="10" t="str">
        <f t="shared" ref="V4:V12" si="2">IF(T4="","",ROUND(B4-T4,2))</f>
        <v/>
      </c>
      <c r="W4" s="10" t="str">
        <f t="shared" ref="W4:W12" si="3">IF(S4="","",ROUND(S4-B4,2))</f>
        <v/>
      </c>
      <c r="X4" s="11" t="str">
        <f t="shared" ref="X4:X12" si="4">IF(AND(V4="",W4=""),"",IF(V4&gt;0,"BUY ▲",IF(W4&gt;0,"SELL ▼","MIN →")))</f>
        <v/>
      </c>
      <c r="Y4" s="8"/>
      <c r="Z4" s="8"/>
      <c r="AA4" s="9"/>
      <c r="AB4" s="12" t="str">
        <f t="shared" ref="AB4:AB12" si="5">IF(OR(AA4="",Z4="",Y4=""),"",IF(Y4=1,ROUND((AA4-T4)*Z4,2),IF(Y4=-1,ROUND((S4-AA4)*Z4,2),0)))</f>
        <v/>
      </c>
      <c r="AC4" s="13"/>
      <c r="AD4" s="14">
        <f>100000+IF(AC4="",0,AC4)</f>
        <v>100000</v>
      </c>
      <c r="AE4" s="8"/>
    </row>
    <row r="5" spans="1:31" ht="15" customHeight="1" x14ac:dyDescent="0.2">
      <c r="A5" s="4">
        <v>2</v>
      </c>
      <c r="B5" s="5">
        <v>220.92</v>
      </c>
      <c r="C5" s="5">
        <v>9.69</v>
      </c>
      <c r="D5" s="6" t="s">
        <v>35</v>
      </c>
      <c r="E5" s="5">
        <v>218.01</v>
      </c>
      <c r="F5" s="5">
        <v>223.83</v>
      </c>
      <c r="G5" s="5">
        <v>213.65</v>
      </c>
      <c r="H5" s="5">
        <v>228.19</v>
      </c>
      <c r="I5" s="5">
        <v>206.38</v>
      </c>
      <c r="J5" s="5">
        <v>235.45</v>
      </c>
      <c r="K5" s="5">
        <v>201.54</v>
      </c>
      <c r="L5" s="5">
        <v>240.3</v>
      </c>
      <c r="M5" s="7" t="s">
        <v>36</v>
      </c>
      <c r="N5" s="8"/>
      <c r="O5" s="9"/>
      <c r="P5" s="9"/>
      <c r="Q5" s="10" t="str">
        <f t="shared" si="0"/>
        <v/>
      </c>
      <c r="R5" s="8"/>
      <c r="S5" s="9"/>
      <c r="T5" s="9"/>
      <c r="U5" s="10" t="str">
        <f t="shared" si="1"/>
        <v/>
      </c>
      <c r="V5" s="10" t="str">
        <f t="shared" si="2"/>
        <v/>
      </c>
      <c r="W5" s="10" t="str">
        <f t="shared" si="3"/>
        <v/>
      </c>
      <c r="X5" s="11" t="str">
        <f t="shared" si="4"/>
        <v/>
      </c>
      <c r="Y5" s="8"/>
      <c r="Z5" s="8"/>
      <c r="AA5" s="9"/>
      <c r="AB5" s="12" t="str">
        <f t="shared" si="5"/>
        <v/>
      </c>
      <c r="AC5" s="13"/>
      <c r="AD5" s="14">
        <f t="shared" ref="AD5:AD12" si="6">AD4+IF(AC5="",0,AC5)</f>
        <v>100000</v>
      </c>
      <c r="AE5" s="8"/>
    </row>
    <row r="6" spans="1:31" ht="15" customHeight="1" x14ac:dyDescent="0.2">
      <c r="A6" s="4">
        <v>3</v>
      </c>
      <c r="B6" s="5">
        <v>258.19</v>
      </c>
      <c r="C6" s="5">
        <v>23.56</v>
      </c>
      <c r="D6" s="15" t="s">
        <v>37</v>
      </c>
      <c r="E6" s="5">
        <v>251.12</v>
      </c>
      <c r="F6" s="5">
        <v>265.26</v>
      </c>
      <c r="G6" s="5">
        <v>240.52</v>
      </c>
      <c r="H6" s="5">
        <v>275.86</v>
      </c>
      <c r="I6" s="5">
        <v>222.85</v>
      </c>
      <c r="J6" s="5">
        <v>293.52999999999997</v>
      </c>
      <c r="K6" s="5">
        <v>211.07</v>
      </c>
      <c r="L6" s="5">
        <v>305.31</v>
      </c>
      <c r="M6" s="16" t="s">
        <v>38</v>
      </c>
      <c r="N6" s="8"/>
      <c r="O6" s="9"/>
      <c r="P6" s="9"/>
      <c r="Q6" s="10" t="str">
        <f t="shared" si="0"/>
        <v/>
      </c>
      <c r="R6" s="8"/>
      <c r="S6" s="9"/>
      <c r="T6" s="9"/>
      <c r="U6" s="10" t="str">
        <f t="shared" si="1"/>
        <v/>
      </c>
      <c r="V6" s="10" t="str">
        <f t="shared" si="2"/>
        <v/>
      </c>
      <c r="W6" s="10" t="str">
        <f t="shared" si="3"/>
        <v/>
      </c>
      <c r="X6" s="11" t="str">
        <f t="shared" si="4"/>
        <v/>
      </c>
      <c r="Y6" s="8"/>
      <c r="Z6" s="8"/>
      <c r="AA6" s="9"/>
      <c r="AB6" s="12" t="str">
        <f t="shared" si="5"/>
        <v/>
      </c>
      <c r="AC6" s="13"/>
      <c r="AD6" s="14">
        <f t="shared" si="6"/>
        <v>100000</v>
      </c>
      <c r="AE6" s="8"/>
    </row>
    <row r="7" spans="1:31" ht="15" customHeight="1" x14ac:dyDescent="0.2">
      <c r="A7" s="4">
        <v>4</v>
      </c>
      <c r="B7" s="5">
        <v>248.81</v>
      </c>
      <c r="C7" s="5">
        <v>25.77</v>
      </c>
      <c r="D7" s="15" t="s">
        <v>37</v>
      </c>
      <c r="E7" s="5">
        <v>241.08</v>
      </c>
      <c r="F7" s="5">
        <v>256.54000000000002</v>
      </c>
      <c r="G7" s="5">
        <v>229.48</v>
      </c>
      <c r="H7" s="5">
        <v>268.14</v>
      </c>
      <c r="I7" s="5">
        <v>210.16</v>
      </c>
      <c r="J7" s="5">
        <v>287.47000000000003</v>
      </c>
      <c r="K7" s="5">
        <v>197.27</v>
      </c>
      <c r="L7" s="5">
        <v>300.35000000000002</v>
      </c>
      <c r="M7" s="16" t="s">
        <v>38</v>
      </c>
      <c r="N7" s="8"/>
      <c r="O7" s="9"/>
      <c r="P7" s="9"/>
      <c r="Q7" s="10" t="str">
        <f t="shared" si="0"/>
        <v/>
      </c>
      <c r="R7" s="8"/>
      <c r="S7" s="9"/>
      <c r="T7" s="9"/>
      <c r="U7" s="10" t="str">
        <f t="shared" si="1"/>
        <v/>
      </c>
      <c r="V7" s="10" t="str">
        <f t="shared" si="2"/>
        <v/>
      </c>
      <c r="W7" s="10" t="str">
        <f t="shared" si="3"/>
        <v/>
      </c>
      <c r="X7" s="11" t="str">
        <f t="shared" si="4"/>
        <v/>
      </c>
      <c r="Y7" s="8"/>
      <c r="Z7" s="8"/>
      <c r="AA7" s="9"/>
      <c r="AB7" s="12" t="str">
        <f t="shared" si="5"/>
        <v/>
      </c>
      <c r="AC7" s="13"/>
      <c r="AD7" s="14">
        <f t="shared" si="6"/>
        <v>100000</v>
      </c>
      <c r="AE7" s="8"/>
    </row>
    <row r="8" spans="1:31" ht="15" customHeight="1" x14ac:dyDescent="0.2">
      <c r="A8" s="4">
        <v>5</v>
      </c>
      <c r="B8" s="5">
        <v>249.7</v>
      </c>
      <c r="C8" s="5">
        <v>27.98</v>
      </c>
      <c r="D8" s="15" t="s">
        <v>37</v>
      </c>
      <c r="E8" s="5">
        <v>241.31</v>
      </c>
      <c r="F8" s="5">
        <v>258.08999999999997</v>
      </c>
      <c r="G8" s="5">
        <v>228.71</v>
      </c>
      <c r="H8" s="5">
        <v>270.69</v>
      </c>
      <c r="I8" s="5">
        <v>207.73</v>
      </c>
      <c r="J8" s="5">
        <v>291.67</v>
      </c>
      <c r="K8" s="5">
        <v>193.74</v>
      </c>
      <c r="L8" s="5">
        <v>305.66000000000003</v>
      </c>
      <c r="M8" s="16" t="s">
        <v>38</v>
      </c>
      <c r="N8" s="8"/>
      <c r="O8" s="9"/>
      <c r="P8" s="9"/>
      <c r="Q8" s="10" t="str">
        <f t="shared" si="0"/>
        <v/>
      </c>
      <c r="R8" s="8"/>
      <c r="S8" s="9"/>
      <c r="T8" s="9"/>
      <c r="U8" s="10" t="str">
        <f t="shared" si="1"/>
        <v/>
      </c>
      <c r="V8" s="10" t="str">
        <f t="shared" si="2"/>
        <v/>
      </c>
      <c r="W8" s="10" t="str">
        <f t="shared" si="3"/>
        <v/>
      </c>
      <c r="X8" s="11" t="str">
        <f t="shared" si="4"/>
        <v/>
      </c>
      <c r="Y8" s="8"/>
      <c r="Z8" s="8"/>
      <c r="AA8" s="9"/>
      <c r="AB8" s="12" t="str">
        <f t="shared" si="5"/>
        <v/>
      </c>
      <c r="AC8" s="13"/>
      <c r="AD8" s="14">
        <f t="shared" si="6"/>
        <v>100000</v>
      </c>
      <c r="AE8" s="8"/>
    </row>
    <row r="9" spans="1:31" ht="15" customHeight="1" x14ac:dyDescent="0.2">
      <c r="A9" s="4">
        <v>6</v>
      </c>
      <c r="B9" s="5">
        <v>173.17</v>
      </c>
      <c r="C9" s="5">
        <v>54.59</v>
      </c>
      <c r="D9" s="17" t="s">
        <v>39</v>
      </c>
      <c r="E9" s="5">
        <v>156.79</v>
      </c>
      <c r="F9" s="5">
        <v>189.55</v>
      </c>
      <c r="G9" s="5">
        <v>132.22999999999999</v>
      </c>
      <c r="H9" s="5">
        <v>214.11</v>
      </c>
      <c r="I9" s="5">
        <v>91.28</v>
      </c>
      <c r="J9" s="5">
        <v>255.06</v>
      </c>
      <c r="K9" s="5">
        <v>63.99</v>
      </c>
      <c r="L9" s="5">
        <v>282.35000000000002</v>
      </c>
      <c r="M9" s="18" t="s">
        <v>40</v>
      </c>
      <c r="N9" s="8"/>
      <c r="O9" s="9"/>
      <c r="P9" s="9"/>
      <c r="Q9" s="10" t="str">
        <f t="shared" si="0"/>
        <v/>
      </c>
      <c r="R9" s="8"/>
      <c r="S9" s="9"/>
      <c r="T9" s="9"/>
      <c r="U9" s="10" t="str">
        <f t="shared" si="1"/>
        <v/>
      </c>
      <c r="V9" s="10" t="str">
        <f t="shared" si="2"/>
        <v/>
      </c>
      <c r="W9" s="10" t="str">
        <f t="shared" si="3"/>
        <v/>
      </c>
      <c r="X9" s="11" t="str">
        <f t="shared" si="4"/>
        <v/>
      </c>
      <c r="Y9" s="8"/>
      <c r="Z9" s="8"/>
      <c r="AA9" s="9"/>
      <c r="AB9" s="12" t="str">
        <f t="shared" si="5"/>
        <v/>
      </c>
      <c r="AC9" s="13"/>
      <c r="AD9" s="14">
        <f t="shared" si="6"/>
        <v>100000</v>
      </c>
      <c r="AE9" s="8"/>
    </row>
    <row r="10" spans="1:31" ht="15" customHeight="1" x14ac:dyDescent="0.2">
      <c r="A10" s="4">
        <v>7</v>
      </c>
      <c r="B10" s="5">
        <v>214.53</v>
      </c>
      <c r="C10" s="5">
        <v>15.54</v>
      </c>
      <c r="D10" s="15" t="s">
        <v>37</v>
      </c>
      <c r="E10" s="5">
        <v>209.87</v>
      </c>
      <c r="F10" s="5">
        <v>219.19</v>
      </c>
      <c r="G10" s="5">
        <v>202.88</v>
      </c>
      <c r="H10" s="5">
        <v>226.19</v>
      </c>
      <c r="I10" s="5">
        <v>191.22</v>
      </c>
      <c r="J10" s="5">
        <v>237.84</v>
      </c>
      <c r="K10" s="5">
        <v>183.45</v>
      </c>
      <c r="L10" s="5">
        <v>245.61</v>
      </c>
      <c r="M10" s="16" t="s">
        <v>38</v>
      </c>
      <c r="N10" s="8"/>
      <c r="O10" s="9"/>
      <c r="P10" s="9"/>
      <c r="Q10" s="10" t="str">
        <f t="shared" si="0"/>
        <v/>
      </c>
      <c r="R10" s="8"/>
      <c r="S10" s="9"/>
      <c r="T10" s="9"/>
      <c r="U10" s="10" t="str">
        <f t="shared" si="1"/>
        <v/>
      </c>
      <c r="V10" s="10" t="str">
        <f t="shared" si="2"/>
        <v/>
      </c>
      <c r="W10" s="10" t="str">
        <f t="shared" si="3"/>
        <v/>
      </c>
      <c r="X10" s="11" t="str">
        <f t="shared" si="4"/>
        <v/>
      </c>
      <c r="Y10" s="8"/>
      <c r="Z10" s="8"/>
      <c r="AA10" s="9"/>
      <c r="AB10" s="12" t="str">
        <f t="shared" si="5"/>
        <v/>
      </c>
      <c r="AC10" s="13"/>
      <c r="AD10" s="14">
        <f t="shared" si="6"/>
        <v>100000</v>
      </c>
      <c r="AE10" s="8"/>
    </row>
    <row r="11" spans="1:31" ht="15" customHeight="1" x14ac:dyDescent="0.2">
      <c r="A11" s="4">
        <v>8</v>
      </c>
      <c r="B11" s="5">
        <v>201.56</v>
      </c>
      <c r="C11" s="5">
        <v>25.94</v>
      </c>
      <c r="D11" s="17" t="s">
        <v>39</v>
      </c>
      <c r="E11" s="5">
        <v>193.78</v>
      </c>
      <c r="F11" s="5">
        <v>209.34</v>
      </c>
      <c r="G11" s="5">
        <v>182.1</v>
      </c>
      <c r="H11" s="5">
        <v>221.02</v>
      </c>
      <c r="I11" s="5">
        <v>162.65</v>
      </c>
      <c r="J11" s="5">
        <v>240.47</v>
      </c>
      <c r="K11" s="5">
        <v>149.68</v>
      </c>
      <c r="L11" s="5">
        <v>253.44</v>
      </c>
      <c r="M11" s="18" t="s">
        <v>40</v>
      </c>
      <c r="N11" s="8"/>
      <c r="O11" s="9"/>
      <c r="P11" s="9"/>
      <c r="Q11" s="10" t="str">
        <f t="shared" si="0"/>
        <v/>
      </c>
      <c r="R11" s="8"/>
      <c r="S11" s="9"/>
      <c r="T11" s="9"/>
      <c r="U11" s="10" t="str">
        <f t="shared" si="1"/>
        <v/>
      </c>
      <c r="V11" s="10" t="str">
        <f t="shared" si="2"/>
        <v/>
      </c>
      <c r="W11" s="10" t="str">
        <f t="shared" si="3"/>
        <v/>
      </c>
      <c r="X11" s="11" t="str">
        <f t="shared" si="4"/>
        <v/>
      </c>
      <c r="Y11" s="8"/>
      <c r="Z11" s="8"/>
      <c r="AA11" s="9"/>
      <c r="AB11" s="12" t="str">
        <f t="shared" si="5"/>
        <v/>
      </c>
      <c r="AC11" s="13"/>
      <c r="AD11" s="14">
        <f t="shared" si="6"/>
        <v>100000</v>
      </c>
      <c r="AE11" s="8"/>
    </row>
    <row r="12" spans="1:31" ht="15" customHeight="1" x14ac:dyDescent="0.2">
      <c r="A12" s="4">
        <v>9</v>
      </c>
      <c r="B12" s="5">
        <v>218.55</v>
      </c>
      <c r="C12" s="5">
        <v>43.37</v>
      </c>
      <c r="D12" s="17" t="s">
        <v>39</v>
      </c>
      <c r="E12" s="5">
        <v>205.54</v>
      </c>
      <c r="F12" s="5">
        <v>231.56</v>
      </c>
      <c r="G12" s="5">
        <v>186.02</v>
      </c>
      <c r="H12" s="5">
        <v>251.08</v>
      </c>
      <c r="I12" s="5">
        <v>153.5</v>
      </c>
      <c r="J12" s="5">
        <v>283.61</v>
      </c>
      <c r="K12" s="5">
        <v>131.81</v>
      </c>
      <c r="L12" s="5">
        <v>305.29000000000002</v>
      </c>
      <c r="M12" s="18" t="s">
        <v>41</v>
      </c>
      <c r="N12" s="8"/>
      <c r="O12" s="9"/>
      <c r="P12" s="9"/>
      <c r="Q12" s="10" t="str">
        <f t="shared" si="0"/>
        <v/>
      </c>
      <c r="R12" s="8"/>
      <c r="S12" s="9"/>
      <c r="T12" s="9"/>
      <c r="U12" s="10" t="str">
        <f t="shared" si="1"/>
        <v/>
      </c>
      <c r="V12" s="10" t="str">
        <f t="shared" si="2"/>
        <v/>
      </c>
      <c r="W12" s="10" t="str">
        <f t="shared" si="3"/>
        <v/>
      </c>
      <c r="X12" s="11" t="str">
        <f t="shared" si="4"/>
        <v/>
      </c>
      <c r="Y12" s="8"/>
      <c r="Z12" s="8"/>
      <c r="AA12" s="9"/>
      <c r="AB12" s="12" t="str">
        <f t="shared" si="5"/>
        <v/>
      </c>
      <c r="AC12" s="13"/>
      <c r="AD12" s="14">
        <f t="shared" si="6"/>
        <v>100000</v>
      </c>
      <c r="AE12" s="8"/>
    </row>
  </sheetData>
  <mergeCells count="4">
    <mergeCell ref="A1:AE1"/>
    <mergeCell ref="A2:M2"/>
    <mergeCell ref="N2:Z2"/>
    <mergeCell ref="AA2:AE2"/>
  </mergeCells>
  <dataValidations count="3">
    <dataValidation type="list" allowBlank="1" showInputMessage="1" showErrorMessage="1" errorTitle="Invalid Mode" error="Enter 1 (Tight), 2 (Moderate), 3 (Conservative), or 4 (Ultra)" promptTitle="Mode Code" prompt="1=Tight  2=Moderate  3=Conservative  4=Ultra" sqref="N4:N12" xr:uid="{00000000-0002-0000-0000-000000000000}">
      <formula1>"1,2,3,4"</formula1>
    </dataValidation>
    <dataValidation type="list" allowBlank="1" showInputMessage="1" showErrorMessage="1" errorTitle="Invalid Value" error="Enter 1 (Yes, we are MM) or 0 (No)" promptTitle="Market Maker?" prompt="1 = Yes (we got tightest spread)   0 = No" sqref="R4:R12" xr:uid="{00000000-0002-0000-0000-000001000000}">
      <formula1>"1,0"</formula1>
    </dataValidation>
    <dataValidation type="list" allowBlank="1" showInputMessage="1" showErrorMessage="1" errorTitle="Invalid Trade Side" error="Enter 1 (Buy), -1 (Sell), or 0 (Minimum forced trade)" promptTitle="Trade Side" prompt="1 = Buy ▲    -1 = Sell ▼    0 = Minimum (forced 10 shares)" sqref="Y4:Y12" xr:uid="{00000000-0002-0000-0000-000002000000}">
      <formula1>"1,-1,0"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12" customWidth="1"/>
    <col min="2" max="2" width="8" customWidth="1"/>
    <col min="3" max="3" width="28" customWidth="1"/>
    <col min="4" max="4" width="42" customWidth="1"/>
    <col min="5" max="5" width="22" customWidth="1"/>
    <col min="6" max="6" width="18" customWidth="1"/>
  </cols>
  <sheetData>
    <row r="1" spans="1:6" ht="21.75" customHeight="1" x14ac:dyDescent="0.2">
      <c r="A1" s="31" t="s">
        <v>42</v>
      </c>
      <c r="B1" s="27"/>
      <c r="C1" s="27"/>
      <c r="D1" s="27"/>
      <c r="E1" s="27"/>
      <c r="F1" s="27"/>
    </row>
    <row r="3" spans="1:6" ht="27.75" customHeight="1" x14ac:dyDescent="0.2">
      <c r="A3" s="19" t="s">
        <v>43</v>
      </c>
      <c r="B3" s="19" t="s">
        <v>44</v>
      </c>
      <c r="C3" s="19" t="s">
        <v>45</v>
      </c>
      <c r="D3" s="19" t="s">
        <v>46</v>
      </c>
      <c r="E3" s="19" t="s">
        <v>47</v>
      </c>
      <c r="F3" s="19" t="s">
        <v>48</v>
      </c>
    </row>
    <row r="4" spans="1:6" ht="27.75" customHeight="1" x14ac:dyDescent="0.2">
      <c r="A4" s="20" t="s">
        <v>49</v>
      </c>
      <c r="B4" s="21" t="s">
        <v>50</v>
      </c>
      <c r="C4" s="21" t="s">
        <v>51</v>
      </c>
      <c r="D4" s="21" t="s">
        <v>52</v>
      </c>
      <c r="E4" s="21" t="s">
        <v>53</v>
      </c>
      <c r="F4" s="21" t="s">
        <v>54</v>
      </c>
    </row>
    <row r="5" spans="1:6" ht="27.75" customHeight="1" x14ac:dyDescent="0.2">
      <c r="A5" s="20" t="s">
        <v>49</v>
      </c>
      <c r="B5" s="21" t="s">
        <v>55</v>
      </c>
      <c r="C5" s="21" t="s">
        <v>56</v>
      </c>
      <c r="D5" s="21" t="s">
        <v>57</v>
      </c>
      <c r="E5" s="21" t="s">
        <v>58</v>
      </c>
      <c r="F5" s="21" t="s">
        <v>54</v>
      </c>
    </row>
    <row r="6" spans="1:6" ht="27.75" customHeight="1" x14ac:dyDescent="0.2">
      <c r="A6" s="20" t="s">
        <v>49</v>
      </c>
      <c r="B6" s="21" t="s">
        <v>59</v>
      </c>
      <c r="C6" s="21" t="s">
        <v>60</v>
      </c>
      <c r="D6" s="21" t="s">
        <v>61</v>
      </c>
      <c r="E6" s="21" t="s">
        <v>58</v>
      </c>
      <c r="F6" s="21" t="s">
        <v>54</v>
      </c>
    </row>
    <row r="7" spans="1:6" ht="27.75" customHeight="1" x14ac:dyDescent="0.2">
      <c r="A7" s="20" t="s">
        <v>49</v>
      </c>
      <c r="B7" s="21" t="s">
        <v>62</v>
      </c>
      <c r="C7" s="21" t="s">
        <v>63</v>
      </c>
      <c r="D7" s="21" t="s">
        <v>64</v>
      </c>
      <c r="E7" s="21" t="s">
        <v>58</v>
      </c>
      <c r="F7" s="21" t="s">
        <v>65</v>
      </c>
    </row>
    <row r="8" spans="1:6" ht="27.75" customHeight="1" x14ac:dyDescent="0.2">
      <c r="A8" s="20" t="s">
        <v>49</v>
      </c>
      <c r="B8" s="21" t="s">
        <v>66</v>
      </c>
      <c r="C8" s="21" t="s">
        <v>67</v>
      </c>
      <c r="D8" s="21" t="s">
        <v>68</v>
      </c>
      <c r="E8" s="21" t="s">
        <v>69</v>
      </c>
      <c r="F8" s="21" t="s">
        <v>54</v>
      </c>
    </row>
    <row r="9" spans="1:6" ht="27.75" customHeight="1" x14ac:dyDescent="0.2">
      <c r="A9" s="20" t="s">
        <v>49</v>
      </c>
      <c r="B9" s="21" t="s">
        <v>70</v>
      </c>
      <c r="C9" s="21" t="s">
        <v>71</v>
      </c>
      <c r="D9" s="21" t="s">
        <v>72</v>
      </c>
      <c r="E9" s="21" t="s">
        <v>73</v>
      </c>
      <c r="F9" s="21" t="s">
        <v>54</v>
      </c>
    </row>
    <row r="10" spans="1:6" ht="27.75" customHeight="1" x14ac:dyDescent="0.2">
      <c r="A10" s="20" t="s">
        <v>49</v>
      </c>
      <c r="B10" s="21" t="s">
        <v>74</v>
      </c>
      <c r="C10" s="21" t="s">
        <v>75</v>
      </c>
      <c r="D10" s="21" t="s">
        <v>76</v>
      </c>
      <c r="E10" s="21" t="s">
        <v>77</v>
      </c>
      <c r="F10" s="21" t="s">
        <v>54</v>
      </c>
    </row>
    <row r="11" spans="1:6" ht="27.75" customHeight="1" x14ac:dyDescent="0.2">
      <c r="A11" s="20" t="s">
        <v>49</v>
      </c>
      <c r="B11" s="21" t="s">
        <v>78</v>
      </c>
      <c r="C11" s="21" t="s">
        <v>79</v>
      </c>
      <c r="D11" s="21" t="s">
        <v>80</v>
      </c>
      <c r="E11" s="21" t="s">
        <v>81</v>
      </c>
      <c r="F11" s="21" t="s">
        <v>54</v>
      </c>
    </row>
    <row r="12" spans="1:6" ht="27.75" customHeight="1" x14ac:dyDescent="0.2">
      <c r="A12" s="20" t="s">
        <v>49</v>
      </c>
      <c r="B12" s="21" t="s">
        <v>82</v>
      </c>
      <c r="C12" s="21" t="s">
        <v>83</v>
      </c>
      <c r="D12" s="21" t="s">
        <v>84</v>
      </c>
      <c r="E12" s="21" t="s">
        <v>85</v>
      </c>
      <c r="F12" s="21" t="s">
        <v>65</v>
      </c>
    </row>
    <row r="13" spans="1:6" ht="27.75" customHeight="1" x14ac:dyDescent="0.2">
      <c r="A13" s="22" t="s">
        <v>86</v>
      </c>
      <c r="B13" s="21" t="s">
        <v>87</v>
      </c>
      <c r="C13" s="21" t="s">
        <v>88</v>
      </c>
      <c r="D13" s="21" t="s">
        <v>89</v>
      </c>
      <c r="E13" s="21" t="s">
        <v>90</v>
      </c>
      <c r="F13" s="21" t="s">
        <v>91</v>
      </c>
    </row>
    <row r="14" spans="1:6" ht="27.75" customHeight="1" x14ac:dyDescent="0.2">
      <c r="A14" s="22" t="s">
        <v>86</v>
      </c>
      <c r="B14" s="21" t="s">
        <v>92</v>
      </c>
      <c r="C14" s="21" t="s">
        <v>93</v>
      </c>
      <c r="D14" s="21" t="s">
        <v>94</v>
      </c>
      <c r="E14" s="21" t="s">
        <v>90</v>
      </c>
      <c r="F14" s="21" t="s">
        <v>91</v>
      </c>
    </row>
    <row r="15" spans="1:6" ht="27.75" customHeight="1" x14ac:dyDescent="0.2">
      <c r="A15" s="22" t="s">
        <v>86</v>
      </c>
      <c r="B15" s="21" t="s">
        <v>95</v>
      </c>
      <c r="C15" s="21" t="s">
        <v>96</v>
      </c>
      <c r="D15" s="21" t="s">
        <v>97</v>
      </c>
      <c r="E15" s="21" t="s">
        <v>98</v>
      </c>
      <c r="F15" s="21" t="s">
        <v>99</v>
      </c>
    </row>
    <row r="16" spans="1:6" ht="27.75" customHeight="1" x14ac:dyDescent="0.2">
      <c r="A16" s="22" t="s">
        <v>86</v>
      </c>
      <c r="B16" s="21" t="s">
        <v>100</v>
      </c>
      <c r="C16" s="21" t="s">
        <v>101</v>
      </c>
      <c r="D16" s="21" t="s">
        <v>102</v>
      </c>
      <c r="E16" s="21" t="s">
        <v>103</v>
      </c>
      <c r="F16" s="21" t="s">
        <v>91</v>
      </c>
    </row>
    <row r="17" spans="1:6" ht="27.75" customHeight="1" x14ac:dyDescent="0.2">
      <c r="A17" s="22" t="s">
        <v>86</v>
      </c>
      <c r="B17" s="21" t="s">
        <v>104</v>
      </c>
      <c r="C17" s="21" t="s">
        <v>105</v>
      </c>
      <c r="D17" s="21" t="s">
        <v>106</v>
      </c>
      <c r="E17" s="21" t="s">
        <v>103</v>
      </c>
      <c r="F17" s="21" t="s">
        <v>91</v>
      </c>
    </row>
    <row r="18" spans="1:6" ht="27.75" customHeight="1" x14ac:dyDescent="0.2">
      <c r="A18" s="22" t="s">
        <v>86</v>
      </c>
      <c r="B18" s="21" t="s">
        <v>107</v>
      </c>
      <c r="C18" s="21" t="s">
        <v>108</v>
      </c>
      <c r="D18" s="21" t="s">
        <v>109</v>
      </c>
      <c r="E18" s="21" t="s">
        <v>98</v>
      </c>
      <c r="F18" s="21" t="s">
        <v>99</v>
      </c>
    </row>
    <row r="19" spans="1:6" ht="27.75" customHeight="1" x14ac:dyDescent="0.2">
      <c r="A19" s="22" t="s">
        <v>86</v>
      </c>
      <c r="B19" s="21" t="s">
        <v>110</v>
      </c>
      <c r="C19" s="21" t="s">
        <v>111</v>
      </c>
      <c r="D19" s="21" t="s">
        <v>112</v>
      </c>
      <c r="E19" s="21" t="s">
        <v>98</v>
      </c>
      <c r="F19" s="21" t="s">
        <v>99</v>
      </c>
    </row>
    <row r="20" spans="1:6" ht="27.75" customHeight="1" x14ac:dyDescent="0.2">
      <c r="A20" s="22" t="s">
        <v>86</v>
      </c>
      <c r="B20" s="21" t="s">
        <v>113</v>
      </c>
      <c r="C20" s="21" t="s">
        <v>114</v>
      </c>
      <c r="D20" s="21" t="s">
        <v>115</v>
      </c>
      <c r="E20" s="21" t="s">
        <v>98</v>
      </c>
      <c r="F20" s="21" t="s">
        <v>99</v>
      </c>
    </row>
    <row r="21" spans="1:6" ht="27.75" customHeight="1" x14ac:dyDescent="0.2">
      <c r="A21" s="22" t="s">
        <v>86</v>
      </c>
      <c r="B21" s="21" t="s">
        <v>116</v>
      </c>
      <c r="C21" s="21" t="s">
        <v>117</v>
      </c>
      <c r="D21" s="21" t="s">
        <v>118</v>
      </c>
      <c r="E21" s="21" t="s">
        <v>119</v>
      </c>
      <c r="F21" s="21" t="s">
        <v>99</v>
      </c>
    </row>
    <row r="22" spans="1:6" ht="27.75" customHeight="1" x14ac:dyDescent="0.2">
      <c r="A22" s="22" t="s">
        <v>86</v>
      </c>
      <c r="B22" s="21" t="s">
        <v>120</v>
      </c>
      <c r="C22" s="21" t="s">
        <v>121</v>
      </c>
      <c r="D22" s="21" t="s">
        <v>122</v>
      </c>
      <c r="E22" s="21" t="s">
        <v>123</v>
      </c>
      <c r="F22" s="21" t="s">
        <v>91</v>
      </c>
    </row>
    <row r="23" spans="1:6" ht="27.75" customHeight="1" x14ac:dyDescent="0.2">
      <c r="A23" s="22" t="s">
        <v>86</v>
      </c>
      <c r="B23" s="21" t="s">
        <v>124</v>
      </c>
      <c r="C23" s="21" t="s">
        <v>125</v>
      </c>
      <c r="D23" s="21" t="s">
        <v>126</v>
      </c>
      <c r="E23" s="21" t="s">
        <v>123</v>
      </c>
      <c r="F23" s="21" t="s">
        <v>91</v>
      </c>
    </row>
    <row r="24" spans="1:6" ht="27.75" customHeight="1" x14ac:dyDescent="0.2">
      <c r="A24" s="23" t="s">
        <v>127</v>
      </c>
      <c r="B24" s="21" t="s">
        <v>128</v>
      </c>
      <c r="C24" s="21" t="s">
        <v>129</v>
      </c>
      <c r="D24" s="21" t="s">
        <v>130</v>
      </c>
      <c r="E24" s="21" t="s">
        <v>131</v>
      </c>
      <c r="F24" s="21" t="s">
        <v>91</v>
      </c>
    </row>
    <row r="25" spans="1:6" ht="27.75" customHeight="1" x14ac:dyDescent="0.2">
      <c r="A25" s="23" t="s">
        <v>127</v>
      </c>
      <c r="B25" s="21" t="s">
        <v>132</v>
      </c>
      <c r="C25" s="21" t="s">
        <v>133</v>
      </c>
      <c r="D25" s="21" t="s">
        <v>134</v>
      </c>
      <c r="E25" s="21" t="s">
        <v>98</v>
      </c>
      <c r="F25" s="21" t="s">
        <v>99</v>
      </c>
    </row>
    <row r="26" spans="1:6" ht="27.75" customHeight="1" x14ac:dyDescent="0.2">
      <c r="A26" s="23" t="s">
        <v>127</v>
      </c>
      <c r="B26" s="21" t="s">
        <v>135</v>
      </c>
      <c r="C26" s="21" t="s">
        <v>136</v>
      </c>
      <c r="D26" s="21" t="s">
        <v>137</v>
      </c>
      <c r="E26" s="21" t="s">
        <v>138</v>
      </c>
      <c r="F26" s="21" t="s">
        <v>91</v>
      </c>
    </row>
    <row r="27" spans="1:6" ht="27.75" customHeight="1" x14ac:dyDescent="0.2">
      <c r="A27" s="23" t="s">
        <v>127</v>
      </c>
      <c r="B27" s="21" t="s">
        <v>139</v>
      </c>
      <c r="C27" s="21" t="s">
        <v>140</v>
      </c>
      <c r="D27" s="21" t="s">
        <v>141</v>
      </c>
      <c r="E27" s="21" t="s">
        <v>98</v>
      </c>
      <c r="F27" s="21" t="s">
        <v>99</v>
      </c>
    </row>
    <row r="28" spans="1:6" ht="27.75" customHeight="1" x14ac:dyDescent="0.2">
      <c r="A28" s="23" t="s">
        <v>127</v>
      </c>
      <c r="B28" s="21" t="s">
        <v>142</v>
      </c>
      <c r="C28" s="21" t="s">
        <v>143</v>
      </c>
      <c r="D28" s="21" t="s">
        <v>144</v>
      </c>
      <c r="E28" s="21" t="s">
        <v>138</v>
      </c>
      <c r="F28" s="21" t="s">
        <v>91</v>
      </c>
    </row>
    <row r="29" spans="1:6" ht="27.75" customHeight="1" x14ac:dyDescent="0.2"/>
    <row r="30" spans="1:6" ht="27.75" customHeight="1" x14ac:dyDescent="0.2"/>
    <row r="31" spans="1:6" ht="27.75" customHeight="1" x14ac:dyDescent="0.2">
      <c r="A31" s="34" t="s">
        <v>145</v>
      </c>
      <c r="B31" s="27"/>
      <c r="C31" s="27"/>
      <c r="D31" s="27"/>
      <c r="E31" s="27"/>
      <c r="F31" s="27"/>
    </row>
    <row r="32" spans="1:6" ht="27.75" customHeight="1" x14ac:dyDescent="0.2">
      <c r="A32" s="24" t="s">
        <v>146</v>
      </c>
      <c r="B32" s="35" t="s">
        <v>147</v>
      </c>
      <c r="C32" s="33"/>
      <c r="D32" s="33"/>
      <c r="E32" s="33"/>
      <c r="F32" s="33"/>
    </row>
    <row r="33" spans="1:6" ht="27.75" customHeight="1" x14ac:dyDescent="0.2">
      <c r="A33" s="25" t="s">
        <v>148</v>
      </c>
      <c r="B33" s="32" t="s">
        <v>149</v>
      </c>
      <c r="C33" s="33"/>
      <c r="D33" s="33"/>
      <c r="E33" s="33"/>
      <c r="F33" s="33"/>
    </row>
    <row r="34" spans="1:6" ht="27.75" customHeight="1" x14ac:dyDescent="0.2">
      <c r="A34" s="25" t="s">
        <v>150</v>
      </c>
      <c r="B34" s="32" t="s">
        <v>151</v>
      </c>
      <c r="C34" s="33"/>
      <c r="D34" s="33"/>
      <c r="E34" s="33"/>
      <c r="F34" s="33"/>
    </row>
    <row r="35" spans="1:6" ht="27.75" customHeight="1" x14ac:dyDescent="0.2">
      <c r="A35" s="25" t="s">
        <v>152</v>
      </c>
      <c r="B35" s="32" t="s">
        <v>153</v>
      </c>
      <c r="C35" s="33"/>
      <c r="D35" s="33"/>
      <c r="E35" s="33"/>
      <c r="F35" s="33"/>
    </row>
    <row r="36" spans="1:6" ht="27.75" customHeight="1" x14ac:dyDescent="0.2">
      <c r="A36" s="25" t="s">
        <v>154</v>
      </c>
      <c r="B36" s="32" t="s">
        <v>155</v>
      </c>
      <c r="C36" s="33"/>
      <c r="D36" s="33"/>
      <c r="E36" s="33"/>
      <c r="F36" s="33"/>
    </row>
    <row r="37" spans="1:6" ht="27.75" customHeight="1" x14ac:dyDescent="0.2">
      <c r="A37" s="25" t="s">
        <v>156</v>
      </c>
      <c r="B37" s="32" t="s">
        <v>157</v>
      </c>
      <c r="C37" s="33"/>
      <c r="D37" s="33"/>
      <c r="E37" s="33"/>
      <c r="F37" s="33"/>
    </row>
    <row r="38" spans="1:6" ht="27.75" customHeight="1" x14ac:dyDescent="0.2">
      <c r="A38" s="25" t="s">
        <v>158</v>
      </c>
      <c r="B38" s="32" t="s">
        <v>159</v>
      </c>
      <c r="C38" s="33"/>
      <c r="D38" s="33"/>
      <c r="E38" s="33"/>
      <c r="F38" s="33"/>
    </row>
    <row r="39" spans="1:6" ht="27.75" customHeight="1" x14ac:dyDescent="0.2">
      <c r="A39" s="25" t="s">
        <v>160</v>
      </c>
      <c r="B39" s="32" t="s">
        <v>161</v>
      </c>
      <c r="C39" s="33"/>
      <c r="D39" s="33"/>
      <c r="E39" s="33"/>
      <c r="F39" s="33"/>
    </row>
    <row r="40" spans="1:6" ht="27.75" customHeight="1" x14ac:dyDescent="0.2">
      <c r="A40" s="25" t="s">
        <v>162</v>
      </c>
      <c r="B40" s="32" t="s">
        <v>163</v>
      </c>
      <c r="C40" s="33"/>
      <c r="D40" s="33"/>
      <c r="E40" s="33"/>
      <c r="F40" s="33"/>
    </row>
    <row r="41" spans="1:6" ht="27.75" customHeight="1" x14ac:dyDescent="0.2">
      <c r="A41" s="25" t="s">
        <v>164</v>
      </c>
      <c r="B41" s="32" t="s">
        <v>165</v>
      </c>
      <c r="C41" s="33"/>
      <c r="D41" s="33"/>
      <c r="E41" s="33"/>
      <c r="F41" s="33"/>
    </row>
    <row r="42" spans="1:6" ht="27.75" customHeight="1" x14ac:dyDescent="0.2">
      <c r="A42" s="25" t="s">
        <v>166</v>
      </c>
      <c r="B42" s="32" t="s">
        <v>167</v>
      </c>
      <c r="C42" s="33"/>
      <c r="D42" s="33"/>
      <c r="E42" s="33"/>
      <c r="F42" s="33"/>
    </row>
    <row r="43" spans="1:6" ht="27.75" customHeight="1" x14ac:dyDescent="0.2">
      <c r="A43" s="25" t="s">
        <v>168</v>
      </c>
      <c r="B43" s="32" t="s">
        <v>169</v>
      </c>
      <c r="C43" s="33"/>
      <c r="D43" s="33"/>
      <c r="E43" s="33"/>
      <c r="F43" s="33"/>
    </row>
    <row r="44" spans="1:6" ht="27.75" customHeight="1" x14ac:dyDescent="0.2"/>
  </sheetData>
  <mergeCells count="14">
    <mergeCell ref="B43:F43"/>
    <mergeCell ref="B39:F39"/>
    <mergeCell ref="B38:F38"/>
    <mergeCell ref="B34:F34"/>
    <mergeCell ref="B33:F33"/>
    <mergeCell ref="B42:F42"/>
    <mergeCell ref="B40:F40"/>
    <mergeCell ref="B41:F41"/>
    <mergeCell ref="A1:F1"/>
    <mergeCell ref="B37:F37"/>
    <mergeCell ref="A31:F31"/>
    <mergeCell ref="B36:F36"/>
    <mergeCell ref="B32:F32"/>
    <mergeCell ref="B35:F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Sheet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Husaam Ateeq</cp:lastModifiedBy>
  <cp:revision>0</cp:revision>
  <dcterms:created xsi:type="dcterms:W3CDTF">2026-04-01T11:39:20Z</dcterms:created>
  <dcterms:modified xsi:type="dcterms:W3CDTF">2026-04-02T10:42:01Z</dcterms:modified>
  <dc:language>en-US</dc:language>
</cp:coreProperties>
</file>